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https://mmcglobalcan-my.sharepoint.com/personal/hany_mesha_oliverwyman_com/Documents/Profile and Portfolio/Opportunities/"/>
    </mc:Choice>
  </mc:AlternateContent>
  <xr:revisionPtr revIDLastSave="46" documentId="8_{9A0F97EC-AAF7-F941-883B-FA1227562299}" xr6:coauthVersionLast="47" xr6:coauthVersionMax="47" xr10:uidLastSave="{7C11A935-754E-CF45-A5C6-FC3DD6CA9824}"/>
  <bookViews>
    <workbookView xWindow="0" yWindow="660" windowWidth="30240" windowHeight="18980" xr2:uid="{00000000-000D-0000-FFFF-FFFF00000000}"/>
  </bookViews>
  <sheets>
    <sheet name="Opportunities" sheetId="1" r:id="rId1"/>
    <sheet name="Pivot_by_Client" sheetId="2" r:id="rId2"/>
    <sheet name="Pivot_by_Sector" sheetId="3" r:id="rId3"/>
    <sheet name="Pivot_by_StartDate" sheetId="4" r:id="rId4"/>
    <sheet name="Dashboard_Not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" i="1" l="1"/>
</calcChain>
</file>

<file path=xl/sharedStrings.xml><?xml version="1.0" encoding="utf-8"?>
<sst xmlns="http://schemas.openxmlformats.org/spreadsheetml/2006/main" count="338" uniqueCount="180">
  <si>
    <t>Opportunity_ID</t>
  </si>
  <si>
    <t>Client</t>
  </si>
  <si>
    <t>CIT</t>
  </si>
  <si>
    <t>Opportunity_Name</t>
  </si>
  <si>
    <t>BFF_Status</t>
  </si>
  <si>
    <t>Stage</t>
  </si>
  <si>
    <t>Generating_Partner</t>
  </si>
  <si>
    <t>Hany_Involvement_Type</t>
  </si>
  <si>
    <t>Hany_Is_Core_Pursuit</t>
  </si>
  <si>
    <t>Fees_Value</t>
  </si>
  <si>
    <t>Fees_Currency</t>
  </si>
  <si>
    <t>Fees_Value_USD</t>
  </si>
  <si>
    <t>Probability</t>
  </si>
  <si>
    <t>Industry_Sector</t>
  </si>
  <si>
    <t>Capability_Teams</t>
  </si>
  <si>
    <t>Opportunity_Source</t>
  </si>
  <si>
    <t>Country</t>
  </si>
  <si>
    <t>City_or_State</t>
  </si>
  <si>
    <t>Estimated_Start_Date</t>
  </si>
  <si>
    <t>Duration_Weeks</t>
  </si>
  <si>
    <t>Software_or_AI_Involved</t>
  </si>
  <si>
    <t>Created_On</t>
  </si>
  <si>
    <t>DTCC_DA_CONT_2026</t>
  </si>
  <si>
    <t>The Depository Trust and Clearing Corp (DTCC)</t>
  </si>
  <si>
    <t>The Depository Trust &amp; Clearing Corporation (DTCC) (CIT)</t>
  </si>
  <si>
    <t>Digital Asset implementation - Continuation of current program support</t>
  </si>
  <si>
    <t>Approved</t>
  </si>
  <si>
    <t>Michael Wagner</t>
  </si>
  <si>
    <t>Initial+Final pursuit team</t>
  </si>
  <si>
    <t>USD</t>
  </si>
  <si>
    <t>FITS &amp; Non Banks</t>
  </si>
  <si>
    <t>Finance &amp; Risk</t>
  </si>
  <si>
    <t>Single Source – Direct Client Request</t>
  </si>
  <si>
    <t>United States</t>
  </si>
  <si>
    <t>New York</t>
  </si>
  <si>
    <t>No</t>
  </si>
  <si>
    <t>Support of Canton super user group</t>
  </si>
  <si>
    <t>USAA</t>
  </si>
  <si>
    <t>United Services Automobile Association (USAA)</t>
  </si>
  <si>
    <t>AI TRiSM health-check diagnostic</t>
  </si>
  <si>
    <t>Submitted</t>
  </si>
  <si>
    <t>BFF</t>
  </si>
  <si>
    <t>Paul Mee</t>
  </si>
  <si>
    <t>Initial pursuit team</t>
  </si>
  <si>
    <t>Property &amp; Casualty</t>
  </si>
  <si>
    <t>Finance &amp; Risk; Technology Innovation</t>
  </si>
  <si>
    <t>Single Source – OW Generated opportunity</t>
  </si>
  <si>
    <t>Texas</t>
  </si>
  <si>
    <t>B3 The Brazilian Stock Exchange</t>
  </si>
  <si>
    <t>Non-Financial Risk Assessment</t>
  </si>
  <si>
    <t>Denis Nakazawa</t>
  </si>
  <si>
    <t>Technology Innovation</t>
  </si>
  <si>
    <t>Open competition (RFP)</t>
  </si>
  <si>
    <t>Brazil</t>
  </si>
  <si>
    <t>b3 - Brasil Bolsa Balcao</t>
  </si>
  <si>
    <t>B3 - Bolsa, Balcao, Brasil</t>
  </si>
  <si>
    <t>Canto network implementation</t>
  </si>
  <si>
    <t>Final pursuit team</t>
  </si>
  <si>
    <t>BRL</t>
  </si>
  <si>
    <t>PEERNOVA_VAL_2025</t>
  </si>
  <si>
    <t>PeerNova</t>
  </si>
  <si>
    <t>Industry valuation utility</t>
  </si>
  <si>
    <t>Global Banks</t>
  </si>
  <si>
    <t>DTCC_DA_IMPL_2025</t>
  </si>
  <si>
    <t>Implementation of Digital Asset operating model</t>
  </si>
  <si>
    <t>New Jersey</t>
  </si>
  <si>
    <t>ING</t>
  </si>
  <si>
    <t>Stablecoins – practical use case &amp; vendor landscape</t>
  </si>
  <si>
    <t>Pre-BFF (prospect)</t>
  </si>
  <si>
    <t>Prospect</t>
  </si>
  <si>
    <t>Early-stage content &amp; materials support</t>
  </si>
  <si>
    <t>Finance &amp; Risk; Digital Assets</t>
  </si>
  <si>
    <t>Relationship / follow-up meeting (sole-source aspiration)</t>
  </si>
  <si>
    <t>Netherlands</t>
  </si>
  <si>
    <t>Yes (Digital Assets / blockchain tech)</t>
  </si>
  <si>
    <t>CIMB</t>
  </si>
  <si>
    <t>Tokenized deposits – architecture (single vs multi-chain)</t>
  </si>
  <si>
    <t>Technology architecture input (Digital Assets)</t>
  </si>
  <si>
    <t>Regional &amp; Domestic Banks</t>
  </si>
  <si>
    <t>Existing client discussion</t>
  </si>
  <si>
    <t>Malaysia</t>
  </si>
  <si>
    <t>UBS</t>
  </si>
  <si>
    <t>Digital assets strategy – crypto nexus, custody, tokenization &amp; AI</t>
  </si>
  <si>
    <t>Jason Ekberg (informal)</t>
  </si>
  <si>
    <t>Multi-firm competitive pitch (4h workshop; relationship-led)</t>
  </si>
  <si>
    <t>Switzerland</t>
  </si>
  <si>
    <t>Yes (Digital Assets and Agentic AI use cases)</t>
  </si>
  <si>
    <t>Planning &amp; Performance Management and Finance data platform transformation</t>
  </si>
  <si>
    <t>Data &amp; infra materials; PPM workshop design support</t>
  </si>
  <si>
    <t>Finance &amp; Risk; Finance Transformation</t>
  </si>
  <si>
    <t>Relationship-led workshop with CFO / Finance leadership</t>
  </si>
  <si>
    <t>Yes (AI-enabled planning &amp; analytics as longer-term driver)</t>
  </si>
  <si>
    <t>AI-enabled data quality and onboarding support – OneSchema proposal</t>
  </si>
  <si>
    <t>Technology / Data Infrastructure</t>
  </si>
  <si>
    <t>Inbound client request for AI/data proposal</t>
  </si>
  <si>
    <t>Yes (AI approach, AI advisory)</t>
  </si>
  <si>
    <t>CANTON_DAML3_MODERNIZATION_GTM_2026</t>
  </si>
  <si>
    <t>Co-lead on strategy, migration blueprint and pitch content</t>
  </si>
  <si>
    <t>Finance &amp; Risk; Digital Assets; Technology Innovation</t>
  </si>
  <si>
    <t>Partner-led GTM with Digital Asset targeting existing Daml clients</t>
  </si>
  <si>
    <t>Global</t>
  </si>
  <si>
    <t>Yes (Canton smart contract and platform modernization)</t>
  </si>
  <si>
    <t>Create a PivotTable on this sheet using tbl_Opportunities:</t>
  </si>
  <si>
    <t>Suggested layout:</t>
  </si>
  <si>
    <t>Rows: Client</t>
  </si>
  <si>
    <t>Values: Sum of Fees_Value_USD</t>
  </si>
  <si>
    <t>Filters: Stage, Hany_Is_Core_Pursuit</t>
  </si>
  <si>
    <t>Rows: Industry_Sector (or Capability_Teams)</t>
  </si>
  <si>
    <t>Columns: Stage or BFF_Status</t>
  </si>
  <si>
    <t>Filters: Hany_Is_Core_Pursuit</t>
  </si>
  <si>
    <t>Rows: Estimated_Start_Date (grouped by Quarter/Year)</t>
  </si>
  <si>
    <t>Filters: Stage (e.g., BFF+Approved), Hany_Is_Core_Pursuit</t>
  </si>
  <si>
    <t>Use this sheet to build your one-page dashboard:</t>
  </si>
  <si>
    <t>1) KPI cells (e.g., B2:E2) using SUMIFS on tbl_Opportunities[Fees_Value_USD] by Stage</t>
  </si>
  <si>
    <t>2) Insert PivotTable in A5 (Pipeline by Stage) and add a column chart</t>
  </si>
  <si>
    <t>3) Insert PivotTable in G5 (Pipeline by Client) and add a bar chart</t>
  </si>
  <si>
    <t>4) Insert PivotTable in A20 (Sector mix) and add a pie/stacked bar chart</t>
  </si>
  <si>
    <t>5) Insert PivotTable in G20 (Fees by Start Date) and add a line/column chart</t>
  </si>
  <si>
    <t>6) Add Slicers for Stage, Client, Country, Industry_Sector, Hany_Is_Core_Pursuit and connect to all pivots</t>
  </si>
  <si>
    <t>Won</t>
  </si>
  <si>
    <t>Multi-client (Equilend, HSBC, BNP, Eleox)</t>
  </si>
  <si>
    <t>CANTON_DAP_MONTENIZATION_GTM_2026</t>
  </si>
  <si>
    <t>Goldman Sachs</t>
  </si>
  <si>
    <t>Jason Ekberg / Matthew Murphy  (informal)</t>
  </si>
  <si>
    <t>PSG Equity</t>
  </si>
  <si>
    <t>Advent International</t>
  </si>
  <si>
    <t>AI-enabled CPG platform – XTEL</t>
  </si>
  <si>
    <t>Kajal Batabyal</t>
  </si>
  <si>
    <t>AI approach and prior-experience input</t>
  </si>
  <si>
    <t>Private Capital; Technology Innovation</t>
  </si>
  <si>
    <t>DAH - GS DAP Canton connected monetization strategy</t>
  </si>
  <si>
    <t>DAH - Canton modernization strategy – Daml 2 to Daml 3 on Canton upgrade play</t>
  </si>
  <si>
    <t>USAA_AI_TRISM</t>
  </si>
  <si>
    <t>B3_NFRISK</t>
  </si>
  <si>
    <t>B3_CANTON_BUILD</t>
  </si>
  <si>
    <t>ING_STABLECOINS</t>
  </si>
  <si>
    <t>CIMB_TOKENIZED_DEPOSITS</t>
  </si>
  <si>
    <t>CACIB_TOKENIZED_DEPOSITS</t>
  </si>
  <si>
    <t>UBS_DIGITAL_ASSETS_STRATEGY</t>
  </si>
  <si>
    <t>CITIZENS_PPM_TRANSFORMATION</t>
  </si>
  <si>
    <t>Citizens Bank</t>
  </si>
  <si>
    <t>Jai Sooklal/ Deepak Kollali/ Amal Rahuman / Eric Czervionke / Jonathan Cummins (informal)</t>
  </si>
  <si>
    <t>BNS_TREASURY_DATA_TRANSFORMATION</t>
  </si>
  <si>
    <t>TD_TREASURY_DATA_TRANSFORMATION</t>
  </si>
  <si>
    <t>Scotiabank Bank</t>
  </si>
  <si>
    <t>TD Bank</t>
  </si>
  <si>
    <t>Finance &amp; Risk; Data Infrastructure</t>
  </si>
  <si>
    <t>Canada</t>
  </si>
  <si>
    <t>Toronto</t>
  </si>
  <si>
    <t>Ted Rudholm-Alfvin / Jason Ekberg / Ugur Koyluoglu / Joe Cox (informal)</t>
  </si>
  <si>
    <t>Jason Ekberg / Joseph Cox/ Michael Ho / Juin Keek / Joe Cox (informal)</t>
  </si>
  <si>
    <t xml:space="preserve">CACIB - Crédit Agricole CIB </t>
  </si>
  <si>
    <t>Treasury data platform transformation</t>
  </si>
  <si>
    <t>Hany Mesha/ Jai Sooklal/ Francois Franzl / Hannah Vazquez/ Aidan Horvath (informal)</t>
  </si>
  <si>
    <t>Hany Mesha/ Jai Sooklal/ Francois Franzl / Aidan Horvath (informal)</t>
  </si>
  <si>
    <t>Generated the opportunity; Data &amp; infra materials; workshop design support</t>
  </si>
  <si>
    <t>Relationship-led workshop with Treasury Data leadership</t>
  </si>
  <si>
    <t>Relationship-led workshop with Group Teasurer / Enterprise Data team / Treasury Data leadership</t>
  </si>
  <si>
    <t>CDD_ONESCHEMA_File_AI_Platform</t>
  </si>
  <si>
    <t>CDD_XTEL_CPG_AI_Platform</t>
  </si>
  <si>
    <t>CDD_hospital_EPR_software_and_social care_software</t>
  </si>
  <si>
    <t>CDD_field_service_management_software</t>
  </si>
  <si>
    <t xml:space="preserve">AI-enabled field service management software </t>
  </si>
  <si>
    <t>AI-enabled hospital EPR software and social care software</t>
  </si>
  <si>
    <t>Steven Eisenberg / Kajal Batabyal / John Tran / Laksh Maggoo</t>
  </si>
  <si>
    <t xml:space="preserve">VDD_GRAPHWISE </t>
  </si>
  <si>
    <t>Integral Capital</t>
  </si>
  <si>
    <t>AI-Enabled Graph Database that promots GraphRAG techniques</t>
  </si>
  <si>
    <t>Lost</t>
  </si>
  <si>
    <t>Steven Eisenberg / Kajal Batabyal / John Tran</t>
  </si>
  <si>
    <t>UK</t>
  </si>
  <si>
    <t>Proposal</t>
  </si>
  <si>
    <t>DTCC_CANTON_USER_GROUP</t>
  </si>
  <si>
    <t>MARSH_QC_RISK_PREPEARDNESS</t>
  </si>
  <si>
    <t>Marsh Group - CISO</t>
  </si>
  <si>
    <t>Marsh Group</t>
  </si>
  <si>
    <t>Quantum Computing Risk prepardness</t>
  </si>
  <si>
    <t>Lead early-stage content &amp; workshp</t>
  </si>
  <si>
    <t>JPM_QC_RISK_PREPEARDNESS</t>
  </si>
  <si>
    <t>Joint OW–DAH initiative (with Mike Emery / Ryan)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</si>
</sst>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&quot;$&quot;#,##0.00"/>
  </numFmts>
  <fonts count="4" x14ac:knownFonts="1">
    <font>
      <sz val="11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14">
    <xf numFmtId="0" fontId="0" fillId="0" borderId="0" xfId="0"/>
    <xf numFmtId="164" fontId="0" fillId="0" borderId="0" xfId="0" applyNumberFormat="1"/>
    <xf numFmtId="0" fontId="1" fillId="2" borderId="0" xfId="1"/>
    <xf numFmtId="0" fontId="2" fillId="3" borderId="0" xfId="2"/>
    <xf numFmtId="164" fontId="2" fillId="3" borderId="0" xfId="2" applyNumberFormat="1"/>
    <xf numFmtId="164" fontId="1" fillId="2" borderId="0" xfId="1" applyNumberFormat="1"/>
    <xf numFmtId="165" fontId="0" fillId="0" borderId="0" xfId="0" applyNumberFormat="1"/>
    <xf numFmtId="165" fontId="2" fillId="3" borderId="0" xfId="2" applyNumberFormat="1"/>
    <xf numFmtId="165" fontId="1" fillId="2" borderId="0" xfId="1" applyNumberFormat="1"/>
    <xf numFmtId="0" fontId="3" fillId="4" borderId="0" xfId="3"/>
    <xf numFmtId="165" fontId="3" fillId="4" borderId="0" xfId="3" applyNumberFormat="1"/>
    <xf numFmtId="164" fontId="3" fillId="4" borderId="0" xfId="3" applyNumberFormat="1"/>
    <xf numFmtId="14" fontId="0" fillId="0" borderId="0" xfId="0" applyNumberFormat="1"/>
    <xf numFmtId="14" fontId="2" fillId="3" borderId="0" xfId="2" applyNumberFormat="1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2">
    <dxf>
      <numFmt numFmtId="165" formatCode="&quot;$&quot;#,##0.00"/>
    </dxf>
    <dxf>
      <numFmt numFmtId="165" formatCode="&quot;$&quot;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Opportunities" displayName="tbl_Opportunities" ref="A1:V25" totalsRowCount="1">
  <autoFilter ref="A1:V24" xr:uid="{00000000-0009-0000-0100-000001000000}"/>
  <tableColumns count="22">
    <tableColumn id="1" xr3:uid="{00000000-0010-0000-0000-000001000000}" name="Opportunity_ID"/>
    <tableColumn id="2" xr3:uid="{00000000-0010-0000-0000-000002000000}" name="Client"/>
    <tableColumn id="3" xr3:uid="{00000000-0010-0000-0000-000003000000}" name="CIT"/>
    <tableColumn id="4" xr3:uid="{00000000-0010-0000-0000-000004000000}" name="Opportunity_Name"/>
    <tableColumn id="5" xr3:uid="{00000000-0010-0000-0000-000005000000}" name="BFF_Status"/>
    <tableColumn id="6" xr3:uid="{00000000-0010-0000-0000-000006000000}" name="Stage"/>
    <tableColumn id="7" xr3:uid="{00000000-0010-0000-0000-000007000000}" name="Generating_Partner"/>
    <tableColumn id="8" xr3:uid="{00000000-0010-0000-0000-000008000000}" name="Hany_Involvement_Type"/>
    <tableColumn id="9" xr3:uid="{00000000-0010-0000-0000-000009000000}" name="Hany_Is_Core_Pursuit"/>
    <tableColumn id="10" xr3:uid="{00000000-0010-0000-0000-00000A000000}" name="Fees_Value"/>
    <tableColumn id="11" xr3:uid="{00000000-0010-0000-0000-00000B000000}" name="Fees_Currency"/>
    <tableColumn id="12" xr3:uid="{00000000-0010-0000-0000-00000C000000}" name="Fees_Value_USD" totalsRowFunction="sum" dataDxfId="1" totalsRowDxfId="0"/>
    <tableColumn id="13" xr3:uid="{00000000-0010-0000-0000-00000D000000}" name="Probability"/>
    <tableColumn id="14" xr3:uid="{00000000-0010-0000-0000-00000E000000}" name="Industry_Sector"/>
    <tableColumn id="15" xr3:uid="{00000000-0010-0000-0000-00000F000000}" name="Capability_Teams"/>
    <tableColumn id="16" xr3:uid="{00000000-0010-0000-0000-000010000000}" name="Opportunity_Source"/>
    <tableColumn id="17" xr3:uid="{00000000-0010-0000-0000-000011000000}" name="Country"/>
    <tableColumn id="18" xr3:uid="{00000000-0010-0000-0000-000012000000}" name="City_or_State"/>
    <tableColumn id="19" xr3:uid="{00000000-0010-0000-0000-000013000000}" name="Estimated_Start_Date"/>
    <tableColumn id="20" xr3:uid="{00000000-0010-0000-0000-000014000000}" name="Duration_Weeks"/>
    <tableColumn id="22" xr3:uid="{00000000-0010-0000-0000-000016000000}" name="Software_or_AI_Involved"/>
    <tableColumn id="23" xr3:uid="{00000000-0010-0000-0000-000017000000}" name="Created_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5"/>
  <sheetViews>
    <sheetView tabSelected="1" topLeftCell="D1" zoomScale="125" workbookViewId="0">
      <selection activeCell="H29" sqref="H29"/>
    </sheetView>
  </sheetViews>
  <sheetFormatPr baseColWidth="10" defaultColWidth="8.83203125" defaultRowHeight="15" x14ac:dyDescent="0.2"/>
  <cols>
    <col min="1" max="1" width="37" customWidth="1"/>
    <col min="2" max="4" width="50" customWidth="1"/>
    <col min="5" max="5" width="20" customWidth="1"/>
    <col min="6" max="6" width="10" customWidth="1"/>
    <col min="7" max="8" width="50" customWidth="1"/>
    <col min="9" max="9" width="22" customWidth="1"/>
    <col min="10" max="10" width="12" customWidth="1"/>
    <col min="11" max="11" width="15" customWidth="1"/>
    <col min="12" max="12" width="16" style="6" customWidth="1"/>
    <col min="13" max="13" width="13" customWidth="1"/>
    <col min="14" max="14" width="34" customWidth="1"/>
    <col min="15" max="16" width="50" customWidth="1"/>
    <col min="17" max="18" width="15" customWidth="1"/>
    <col min="19" max="19" width="22" customWidth="1"/>
    <col min="20" max="20" width="16" customWidth="1"/>
    <col min="21" max="21" width="50" customWidth="1"/>
    <col min="22" max="22" width="21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6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171</v>
      </c>
      <c r="G2" t="s">
        <v>27</v>
      </c>
      <c r="H2" t="s">
        <v>28</v>
      </c>
      <c r="I2" t="b">
        <v>1</v>
      </c>
      <c r="J2">
        <v>2000000</v>
      </c>
      <c r="K2" t="s">
        <v>29</v>
      </c>
      <c r="L2" s="6">
        <v>2000000</v>
      </c>
      <c r="M2">
        <v>0.9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s="1">
        <v>46104</v>
      </c>
      <c r="T2">
        <v>15</v>
      </c>
      <c r="U2" t="s">
        <v>35</v>
      </c>
      <c r="V2" s="1">
        <v>46056</v>
      </c>
    </row>
    <row r="3" spans="1:22" x14ac:dyDescent="0.2">
      <c r="A3" t="s">
        <v>172</v>
      </c>
      <c r="B3" t="s">
        <v>23</v>
      </c>
      <c r="C3" t="s">
        <v>24</v>
      </c>
      <c r="D3" t="s">
        <v>36</v>
      </c>
      <c r="E3" t="s">
        <v>26</v>
      </c>
      <c r="F3" t="s">
        <v>171</v>
      </c>
      <c r="G3" t="s">
        <v>27</v>
      </c>
      <c r="H3" t="s">
        <v>28</v>
      </c>
      <c r="I3" t="b">
        <v>1</v>
      </c>
      <c r="J3">
        <v>2500000</v>
      </c>
      <c r="K3" t="s">
        <v>29</v>
      </c>
      <c r="L3" s="6">
        <v>2500000</v>
      </c>
      <c r="M3">
        <v>0.9</v>
      </c>
      <c r="N3" t="s">
        <v>30</v>
      </c>
      <c r="O3" t="s">
        <v>31</v>
      </c>
      <c r="P3" t="s">
        <v>32</v>
      </c>
      <c r="Q3" t="s">
        <v>33</v>
      </c>
      <c r="R3" t="s">
        <v>34</v>
      </c>
      <c r="S3" s="1">
        <v>46076</v>
      </c>
      <c r="T3">
        <v>15</v>
      </c>
      <c r="U3" t="s">
        <v>35</v>
      </c>
      <c r="V3" s="1">
        <v>46056</v>
      </c>
    </row>
    <row r="4" spans="1:22" x14ac:dyDescent="0.2">
      <c r="A4" t="s">
        <v>132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b">
        <v>1</v>
      </c>
      <c r="J4">
        <v>500000</v>
      </c>
      <c r="K4" t="s">
        <v>29</v>
      </c>
      <c r="L4" s="6">
        <v>500000</v>
      </c>
      <c r="M4">
        <v>0.7</v>
      </c>
      <c r="N4" t="s">
        <v>44</v>
      </c>
      <c r="O4" t="s">
        <v>45</v>
      </c>
      <c r="P4" t="s">
        <v>46</v>
      </c>
      <c r="Q4" t="s">
        <v>33</v>
      </c>
      <c r="R4" t="s">
        <v>47</v>
      </c>
      <c r="S4" s="1">
        <v>46083</v>
      </c>
      <c r="T4">
        <v>5</v>
      </c>
      <c r="U4" t="s">
        <v>35</v>
      </c>
      <c r="V4" s="1">
        <v>46051</v>
      </c>
    </row>
    <row r="5" spans="1:22" x14ac:dyDescent="0.2">
      <c r="A5" t="s">
        <v>173</v>
      </c>
      <c r="B5" t="s">
        <v>174</v>
      </c>
      <c r="C5" t="s">
        <v>175</v>
      </c>
      <c r="D5" t="s">
        <v>176</v>
      </c>
      <c r="E5" t="s">
        <v>68</v>
      </c>
      <c r="F5" t="s">
        <v>69</v>
      </c>
      <c r="G5" t="s">
        <v>42</v>
      </c>
      <c r="H5" t="s">
        <v>177</v>
      </c>
      <c r="I5" t="b">
        <v>1</v>
      </c>
      <c r="O5" t="s">
        <v>45</v>
      </c>
      <c r="P5" t="s">
        <v>32</v>
      </c>
      <c r="Q5" t="s">
        <v>33</v>
      </c>
      <c r="R5" t="s">
        <v>34</v>
      </c>
      <c r="S5" s="1">
        <v>46027</v>
      </c>
      <c r="V5" s="1">
        <v>46027</v>
      </c>
    </row>
    <row r="6" spans="1:22" x14ac:dyDescent="0.2">
      <c r="A6" t="s">
        <v>178</v>
      </c>
      <c r="B6" t="s">
        <v>174</v>
      </c>
      <c r="C6" t="s">
        <v>175</v>
      </c>
      <c r="D6" t="s">
        <v>176</v>
      </c>
      <c r="E6" t="s">
        <v>68</v>
      </c>
      <c r="F6" t="s">
        <v>69</v>
      </c>
      <c r="G6" t="s">
        <v>42</v>
      </c>
      <c r="H6" t="s">
        <v>177</v>
      </c>
      <c r="I6" t="b">
        <v>1</v>
      </c>
      <c r="O6" t="s">
        <v>45</v>
      </c>
      <c r="P6" t="s">
        <v>32</v>
      </c>
      <c r="Q6" t="s">
        <v>33</v>
      </c>
      <c r="R6" t="s">
        <v>34</v>
      </c>
      <c r="S6" s="1">
        <v>46027</v>
      </c>
      <c r="V6" s="1">
        <v>46027</v>
      </c>
    </row>
    <row r="7" spans="1:22" x14ac:dyDescent="0.2">
      <c r="A7" t="s">
        <v>133</v>
      </c>
      <c r="B7" t="s">
        <v>48</v>
      </c>
      <c r="C7" t="s">
        <v>55</v>
      </c>
      <c r="D7" t="s">
        <v>49</v>
      </c>
      <c r="E7" t="s">
        <v>26</v>
      </c>
      <c r="F7" t="s">
        <v>171</v>
      </c>
      <c r="G7" t="s">
        <v>50</v>
      </c>
      <c r="H7" t="s">
        <v>28</v>
      </c>
      <c r="I7" t="b">
        <v>1</v>
      </c>
      <c r="J7">
        <v>700000</v>
      </c>
      <c r="K7" t="s">
        <v>29</v>
      </c>
      <c r="L7" s="6">
        <v>700000</v>
      </c>
      <c r="M7">
        <v>0.4</v>
      </c>
      <c r="N7" t="s">
        <v>30</v>
      </c>
      <c r="O7" t="s">
        <v>51</v>
      </c>
      <c r="P7" t="s">
        <v>52</v>
      </c>
      <c r="Q7" t="s">
        <v>53</v>
      </c>
      <c r="S7" s="1">
        <v>46083</v>
      </c>
      <c r="T7">
        <v>10</v>
      </c>
      <c r="U7" t="s">
        <v>35</v>
      </c>
      <c r="V7" s="1">
        <v>46048</v>
      </c>
    </row>
    <row r="8" spans="1:22" ht="16" x14ac:dyDescent="0.2">
      <c r="A8" s="9" t="s">
        <v>134</v>
      </c>
      <c r="B8" s="9" t="s">
        <v>54</v>
      </c>
      <c r="C8" s="9" t="s">
        <v>55</v>
      </c>
      <c r="D8" s="9" t="s">
        <v>56</v>
      </c>
      <c r="E8" s="9" t="s">
        <v>26</v>
      </c>
      <c r="F8" s="9" t="s">
        <v>26</v>
      </c>
      <c r="G8" s="9" t="s">
        <v>27</v>
      </c>
      <c r="H8" s="9" t="s">
        <v>57</v>
      </c>
      <c r="I8" s="9" t="b">
        <v>1</v>
      </c>
      <c r="J8" s="9">
        <v>9200000</v>
      </c>
      <c r="K8" s="9" t="s">
        <v>58</v>
      </c>
      <c r="L8" s="10">
        <v>1840000</v>
      </c>
      <c r="M8" s="9">
        <v>0.4</v>
      </c>
      <c r="N8" s="9" t="s">
        <v>30</v>
      </c>
      <c r="O8" s="9" t="s">
        <v>31</v>
      </c>
      <c r="P8" s="9" t="s">
        <v>46</v>
      </c>
      <c r="Q8" s="9" t="s">
        <v>53</v>
      </c>
      <c r="R8" s="9"/>
      <c r="S8" s="11">
        <v>46027</v>
      </c>
      <c r="T8" s="9">
        <v>20</v>
      </c>
      <c r="U8" s="9" t="s">
        <v>35</v>
      </c>
      <c r="V8" s="11">
        <v>45980</v>
      </c>
    </row>
    <row r="9" spans="1:22" ht="16" x14ac:dyDescent="0.2">
      <c r="A9" s="3" t="s">
        <v>59</v>
      </c>
      <c r="B9" s="3" t="s">
        <v>60</v>
      </c>
      <c r="C9" s="3"/>
      <c r="D9" s="3" t="s">
        <v>61</v>
      </c>
      <c r="E9" s="3" t="s">
        <v>26</v>
      </c>
      <c r="F9" s="3" t="s">
        <v>168</v>
      </c>
      <c r="G9" s="3" t="s">
        <v>27</v>
      </c>
      <c r="H9" s="3" t="s">
        <v>28</v>
      </c>
      <c r="I9" s="3" t="b">
        <v>1</v>
      </c>
      <c r="J9" s="3">
        <v>2000000</v>
      </c>
      <c r="K9" s="3" t="s">
        <v>29</v>
      </c>
      <c r="L9" s="7">
        <v>2000000</v>
      </c>
      <c r="M9" s="3">
        <v>0.8</v>
      </c>
      <c r="N9" s="3" t="s">
        <v>62</v>
      </c>
      <c r="O9" s="3" t="s">
        <v>31</v>
      </c>
      <c r="P9" s="3" t="s">
        <v>32</v>
      </c>
      <c r="Q9" s="3" t="s">
        <v>33</v>
      </c>
      <c r="R9" s="3" t="s">
        <v>34</v>
      </c>
      <c r="S9" s="4">
        <v>45999</v>
      </c>
      <c r="T9" s="3">
        <v>12</v>
      </c>
      <c r="U9" s="3" t="s">
        <v>35</v>
      </c>
      <c r="V9" s="4">
        <v>45972</v>
      </c>
    </row>
    <row r="10" spans="1:22" ht="16" x14ac:dyDescent="0.2">
      <c r="A10" s="2" t="s">
        <v>63</v>
      </c>
      <c r="B10" s="2" t="s">
        <v>23</v>
      </c>
      <c r="C10" s="2" t="s">
        <v>24</v>
      </c>
      <c r="D10" s="2" t="s">
        <v>64</v>
      </c>
      <c r="E10" s="2" t="s">
        <v>26</v>
      </c>
      <c r="F10" s="2" t="s">
        <v>119</v>
      </c>
      <c r="G10" s="2" t="s">
        <v>27</v>
      </c>
      <c r="H10" s="2" t="s">
        <v>28</v>
      </c>
      <c r="I10" s="2" t="b">
        <v>1</v>
      </c>
      <c r="J10" s="2">
        <v>2000000</v>
      </c>
      <c r="K10" s="2" t="s">
        <v>29</v>
      </c>
      <c r="L10" s="8">
        <v>2000000</v>
      </c>
      <c r="M10" s="2">
        <v>0.9</v>
      </c>
      <c r="N10" s="2" t="s">
        <v>30</v>
      </c>
      <c r="O10" s="2" t="s">
        <v>31</v>
      </c>
      <c r="P10" s="2" t="s">
        <v>46</v>
      </c>
      <c r="Q10" s="2" t="s">
        <v>33</v>
      </c>
      <c r="R10" s="2" t="s">
        <v>65</v>
      </c>
      <c r="S10" s="5">
        <v>45985</v>
      </c>
      <c r="T10" s="2">
        <v>14</v>
      </c>
      <c r="U10" s="2" t="s">
        <v>35</v>
      </c>
      <c r="V10" s="5">
        <v>45973</v>
      </c>
    </row>
    <row r="11" spans="1:22" x14ac:dyDescent="0.2">
      <c r="A11" t="s">
        <v>135</v>
      </c>
      <c r="B11" t="s">
        <v>66</v>
      </c>
      <c r="D11" t="s">
        <v>67</v>
      </c>
      <c r="E11" t="s">
        <v>68</v>
      </c>
      <c r="F11" t="s">
        <v>69</v>
      </c>
      <c r="G11" t="s">
        <v>149</v>
      </c>
      <c r="H11" t="s">
        <v>70</v>
      </c>
      <c r="I11" t="b">
        <v>1</v>
      </c>
      <c r="N11" t="s">
        <v>62</v>
      </c>
      <c r="O11" t="s">
        <v>71</v>
      </c>
      <c r="P11" t="s">
        <v>72</v>
      </c>
      <c r="Q11" t="s">
        <v>73</v>
      </c>
      <c r="U11" t="s">
        <v>74</v>
      </c>
    </row>
    <row r="12" spans="1:22" x14ac:dyDescent="0.2">
      <c r="A12" t="s">
        <v>136</v>
      </c>
      <c r="B12" t="s">
        <v>75</v>
      </c>
      <c r="D12" t="s">
        <v>76</v>
      </c>
      <c r="E12" t="s">
        <v>68</v>
      </c>
      <c r="F12" t="s">
        <v>69</v>
      </c>
      <c r="G12" t="s">
        <v>150</v>
      </c>
      <c r="H12" t="s">
        <v>77</v>
      </c>
      <c r="I12" t="b">
        <v>1</v>
      </c>
      <c r="N12" t="s">
        <v>78</v>
      </c>
      <c r="O12" t="s">
        <v>71</v>
      </c>
      <c r="P12" t="s">
        <v>79</v>
      </c>
      <c r="Q12" t="s">
        <v>80</v>
      </c>
      <c r="U12" t="s">
        <v>74</v>
      </c>
    </row>
    <row r="13" spans="1:22" x14ac:dyDescent="0.2">
      <c r="A13" t="s">
        <v>137</v>
      </c>
      <c r="B13" t="s">
        <v>151</v>
      </c>
      <c r="D13" t="s">
        <v>76</v>
      </c>
      <c r="E13" t="s">
        <v>68</v>
      </c>
      <c r="F13" t="s">
        <v>69</v>
      </c>
      <c r="G13" t="s">
        <v>123</v>
      </c>
      <c r="H13" t="s">
        <v>77</v>
      </c>
      <c r="I13" t="b">
        <v>1</v>
      </c>
      <c r="N13" t="s">
        <v>78</v>
      </c>
      <c r="O13" t="s">
        <v>71</v>
      </c>
      <c r="P13" t="s">
        <v>79</v>
      </c>
      <c r="Q13" t="s">
        <v>80</v>
      </c>
      <c r="U13" t="s">
        <v>74</v>
      </c>
    </row>
    <row r="14" spans="1:22" x14ac:dyDescent="0.2">
      <c r="A14" t="s">
        <v>138</v>
      </c>
      <c r="B14" t="s">
        <v>81</v>
      </c>
      <c r="D14" t="s">
        <v>82</v>
      </c>
      <c r="E14" t="s">
        <v>68</v>
      </c>
      <c r="F14" t="s">
        <v>69</v>
      </c>
      <c r="G14" t="s">
        <v>83</v>
      </c>
      <c r="H14" t="s">
        <v>77</v>
      </c>
      <c r="I14" t="b">
        <v>1</v>
      </c>
      <c r="N14" t="s">
        <v>62</v>
      </c>
      <c r="O14" t="s">
        <v>71</v>
      </c>
      <c r="P14" t="s">
        <v>84</v>
      </c>
      <c r="Q14" t="s">
        <v>85</v>
      </c>
      <c r="U14" t="s">
        <v>86</v>
      </c>
      <c r="V14" s="1">
        <v>46056</v>
      </c>
    </row>
    <row r="15" spans="1:22" x14ac:dyDescent="0.2">
      <c r="A15" t="s">
        <v>139</v>
      </c>
      <c r="B15" t="s">
        <v>140</v>
      </c>
      <c r="D15" t="s">
        <v>87</v>
      </c>
      <c r="E15" t="s">
        <v>68</v>
      </c>
      <c r="F15" t="s">
        <v>69</v>
      </c>
      <c r="G15" t="s">
        <v>141</v>
      </c>
      <c r="H15" t="s">
        <v>88</v>
      </c>
      <c r="I15" t="b">
        <v>1</v>
      </c>
      <c r="N15" t="s">
        <v>78</v>
      </c>
      <c r="O15" t="s">
        <v>89</v>
      </c>
      <c r="P15" t="s">
        <v>90</v>
      </c>
      <c r="Q15" t="s">
        <v>33</v>
      </c>
      <c r="U15" t="s">
        <v>91</v>
      </c>
      <c r="V15" s="1">
        <v>46056</v>
      </c>
    </row>
    <row r="16" spans="1:22" x14ac:dyDescent="0.2">
      <c r="A16" t="s">
        <v>142</v>
      </c>
      <c r="B16" t="s">
        <v>144</v>
      </c>
      <c r="D16" t="s">
        <v>152</v>
      </c>
      <c r="E16" t="s">
        <v>68</v>
      </c>
      <c r="F16" t="s">
        <v>69</v>
      </c>
      <c r="G16" t="s">
        <v>153</v>
      </c>
      <c r="H16" t="s">
        <v>155</v>
      </c>
      <c r="I16" t="b">
        <v>1</v>
      </c>
      <c r="N16" t="s">
        <v>62</v>
      </c>
      <c r="O16" t="s">
        <v>146</v>
      </c>
      <c r="P16" t="s">
        <v>157</v>
      </c>
      <c r="Q16" t="s">
        <v>147</v>
      </c>
      <c r="R16" t="s">
        <v>148</v>
      </c>
      <c r="S16" s="12">
        <v>46104</v>
      </c>
      <c r="U16" t="s">
        <v>91</v>
      </c>
      <c r="V16" s="1">
        <v>46056</v>
      </c>
    </row>
    <row r="17" spans="1:22" x14ac:dyDescent="0.2">
      <c r="A17" t="s">
        <v>143</v>
      </c>
      <c r="B17" t="s">
        <v>145</v>
      </c>
      <c r="D17" t="s">
        <v>152</v>
      </c>
      <c r="E17" t="s">
        <v>68</v>
      </c>
      <c r="F17" t="s">
        <v>69</v>
      </c>
      <c r="G17" t="s">
        <v>154</v>
      </c>
      <c r="H17" t="s">
        <v>155</v>
      </c>
      <c r="I17" t="b">
        <v>1</v>
      </c>
      <c r="N17" t="s">
        <v>62</v>
      </c>
      <c r="O17" t="s">
        <v>146</v>
      </c>
      <c r="P17" t="s">
        <v>156</v>
      </c>
      <c r="Q17" t="s">
        <v>147</v>
      </c>
      <c r="R17" t="s">
        <v>148</v>
      </c>
      <c r="S17" s="12">
        <v>46106</v>
      </c>
      <c r="U17" t="s">
        <v>91</v>
      </c>
      <c r="V17" s="1">
        <v>46056</v>
      </c>
    </row>
    <row r="18" spans="1:22" ht="16" x14ac:dyDescent="0.2">
      <c r="A18" s="3" t="s">
        <v>165</v>
      </c>
      <c r="B18" s="3" t="s">
        <v>166</v>
      </c>
      <c r="C18" s="3"/>
      <c r="D18" s="3" t="s">
        <v>167</v>
      </c>
      <c r="E18" s="3" t="s">
        <v>26</v>
      </c>
      <c r="F18" s="3" t="s">
        <v>168</v>
      </c>
      <c r="G18" s="3" t="s">
        <v>169</v>
      </c>
      <c r="H18" s="3" t="s">
        <v>128</v>
      </c>
      <c r="I18" s="3"/>
      <c r="J18" s="3"/>
      <c r="K18" s="3"/>
      <c r="L18" s="7"/>
      <c r="M18" s="3"/>
      <c r="N18" s="3"/>
      <c r="O18" s="3"/>
      <c r="P18" s="3"/>
      <c r="Q18" s="3"/>
      <c r="R18" s="3"/>
      <c r="S18" s="13"/>
      <c r="T18" s="3"/>
      <c r="U18" s="3"/>
      <c r="V18" s="4"/>
    </row>
    <row r="19" spans="1:22" ht="16" x14ac:dyDescent="0.2">
      <c r="A19" s="2" t="s">
        <v>158</v>
      </c>
      <c r="B19" s="2" t="s">
        <v>124</v>
      </c>
      <c r="C19" s="2"/>
      <c r="D19" s="2" t="s">
        <v>92</v>
      </c>
      <c r="E19" s="2" t="s">
        <v>26</v>
      </c>
      <c r="F19" s="2" t="s">
        <v>119</v>
      </c>
      <c r="G19" s="2" t="s">
        <v>164</v>
      </c>
      <c r="H19" s="2" t="s">
        <v>128</v>
      </c>
      <c r="I19" s="2" t="b">
        <v>1</v>
      </c>
      <c r="J19" s="2">
        <v>245000</v>
      </c>
      <c r="K19" s="2" t="s">
        <v>29</v>
      </c>
      <c r="L19" s="8">
        <v>245000</v>
      </c>
      <c r="M19" s="2"/>
      <c r="N19" s="2" t="s">
        <v>93</v>
      </c>
      <c r="O19" s="2" t="s">
        <v>129</v>
      </c>
      <c r="P19" s="2" t="s">
        <v>94</v>
      </c>
      <c r="Q19" s="2" t="s">
        <v>33</v>
      </c>
      <c r="R19" s="2"/>
      <c r="S19" s="2"/>
      <c r="T19" s="2"/>
      <c r="U19" s="2" t="s">
        <v>95</v>
      </c>
      <c r="V19" s="2"/>
    </row>
    <row r="20" spans="1:22" ht="16" x14ac:dyDescent="0.2">
      <c r="A20" s="2" t="s">
        <v>159</v>
      </c>
      <c r="B20" s="2" t="s">
        <v>125</v>
      </c>
      <c r="C20" s="2"/>
      <c r="D20" s="2" t="s">
        <v>126</v>
      </c>
      <c r="E20" s="2" t="s">
        <v>26</v>
      </c>
      <c r="F20" s="2" t="s">
        <v>119</v>
      </c>
      <c r="G20" s="2" t="s">
        <v>127</v>
      </c>
      <c r="H20" s="2" t="s">
        <v>128</v>
      </c>
      <c r="I20" s="2" t="b">
        <v>1</v>
      </c>
      <c r="J20" s="2">
        <v>245000</v>
      </c>
      <c r="K20" s="2" t="s">
        <v>29</v>
      </c>
      <c r="L20" s="8">
        <v>245000</v>
      </c>
      <c r="M20" s="2"/>
      <c r="N20" s="2" t="s">
        <v>93</v>
      </c>
      <c r="O20" s="2" t="s">
        <v>129</v>
      </c>
      <c r="P20" s="2" t="s">
        <v>94</v>
      </c>
      <c r="Q20" s="2" t="s">
        <v>170</v>
      </c>
      <c r="R20" s="2"/>
      <c r="S20" s="2"/>
      <c r="T20" s="2"/>
      <c r="U20" s="2" t="s">
        <v>95</v>
      </c>
      <c r="V20" s="2"/>
    </row>
    <row r="21" spans="1:22" x14ac:dyDescent="0.2">
      <c r="A21" t="s">
        <v>161</v>
      </c>
      <c r="D21" t="s">
        <v>162</v>
      </c>
      <c r="E21" t="s">
        <v>26</v>
      </c>
      <c r="F21" t="s">
        <v>171</v>
      </c>
      <c r="G21" t="s">
        <v>127</v>
      </c>
      <c r="H21" t="s">
        <v>128</v>
      </c>
      <c r="I21" t="b">
        <v>1</v>
      </c>
      <c r="J21">
        <v>245000</v>
      </c>
      <c r="K21" t="s">
        <v>29</v>
      </c>
      <c r="L21" s="6">
        <v>245000</v>
      </c>
      <c r="N21" t="s">
        <v>93</v>
      </c>
      <c r="O21" t="s">
        <v>129</v>
      </c>
      <c r="P21" t="s">
        <v>94</v>
      </c>
      <c r="Q21" t="s">
        <v>170</v>
      </c>
      <c r="S21" s="12"/>
      <c r="U21" t="s">
        <v>95</v>
      </c>
      <c r="V21" s="1"/>
    </row>
    <row r="22" spans="1:22" ht="16" x14ac:dyDescent="0.2">
      <c r="A22" s="2" t="s">
        <v>160</v>
      </c>
      <c r="B22" s="2"/>
      <c r="C22" s="2"/>
      <c r="D22" s="2" t="s">
        <v>163</v>
      </c>
      <c r="E22" s="2" t="s">
        <v>26</v>
      </c>
      <c r="F22" s="2" t="s">
        <v>119</v>
      </c>
      <c r="G22" s="2" t="s">
        <v>127</v>
      </c>
      <c r="H22" s="2" t="s">
        <v>128</v>
      </c>
      <c r="I22" s="2" t="b">
        <v>1</v>
      </c>
      <c r="J22" s="2">
        <v>245000</v>
      </c>
      <c r="K22" s="2" t="s">
        <v>29</v>
      </c>
      <c r="L22" s="8">
        <v>245000</v>
      </c>
      <c r="M22" s="2"/>
      <c r="N22" s="2" t="s">
        <v>93</v>
      </c>
      <c r="O22" s="2" t="s">
        <v>129</v>
      </c>
      <c r="P22" s="2" t="s">
        <v>94</v>
      </c>
      <c r="Q22" s="2" t="s">
        <v>170</v>
      </c>
      <c r="R22" s="2"/>
      <c r="S22" s="2"/>
      <c r="T22" s="2"/>
      <c r="U22" s="2" t="s">
        <v>95</v>
      </c>
      <c r="V22" s="2"/>
    </row>
    <row r="23" spans="1:22" x14ac:dyDescent="0.2">
      <c r="A23" t="s">
        <v>96</v>
      </c>
      <c r="B23" t="s">
        <v>120</v>
      </c>
      <c r="D23" t="s">
        <v>131</v>
      </c>
      <c r="E23" t="s">
        <v>68</v>
      </c>
      <c r="F23" t="s">
        <v>69</v>
      </c>
      <c r="G23" t="s">
        <v>179</v>
      </c>
      <c r="H23" t="s">
        <v>97</v>
      </c>
      <c r="I23" t="b">
        <v>1</v>
      </c>
      <c r="N23" t="s">
        <v>62</v>
      </c>
      <c r="O23" t="s">
        <v>98</v>
      </c>
      <c r="P23" t="s">
        <v>99</v>
      </c>
      <c r="Q23" t="s">
        <v>100</v>
      </c>
      <c r="U23" t="s">
        <v>101</v>
      </c>
    </row>
    <row r="24" spans="1:22" x14ac:dyDescent="0.2">
      <c r="A24" t="s">
        <v>121</v>
      </c>
      <c r="B24" t="s">
        <v>122</v>
      </c>
      <c r="D24" t="s">
        <v>130</v>
      </c>
      <c r="E24" t="s">
        <v>68</v>
      </c>
      <c r="F24" t="s">
        <v>69</v>
      </c>
      <c r="G24" t="s">
        <v>179</v>
      </c>
      <c r="H24" t="s">
        <v>97</v>
      </c>
      <c r="I24" t="b">
        <v>1</v>
      </c>
      <c r="N24" t="s">
        <v>62</v>
      </c>
      <c r="O24" t="s">
        <v>98</v>
      </c>
      <c r="P24" t="s">
        <v>99</v>
      </c>
      <c r="Q24" t="s">
        <v>33</v>
      </c>
      <c r="U24" t="s">
        <v>101</v>
      </c>
    </row>
    <row r="25" spans="1:22" x14ac:dyDescent="0.2">
      <c r="L25" s="6">
        <f>SUBTOTAL(109,tbl_Opportunities[Fees_Value_USD])</f>
        <v>12520000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102</v>
      </c>
    </row>
    <row r="3" spans="1:1" x14ac:dyDescent="0.2">
      <c r="A3" t="s">
        <v>103</v>
      </c>
    </row>
    <row r="4" spans="1:1" x14ac:dyDescent="0.2">
      <c r="A4" t="s">
        <v>104</v>
      </c>
    </row>
    <row r="5" spans="1:1" x14ac:dyDescent="0.2">
      <c r="A5" t="s">
        <v>105</v>
      </c>
    </row>
    <row r="6" spans="1:1" x14ac:dyDescent="0.2">
      <c r="A6" t="s">
        <v>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102</v>
      </c>
    </row>
    <row r="3" spans="1:1" x14ac:dyDescent="0.2">
      <c r="A3" t="s">
        <v>103</v>
      </c>
    </row>
    <row r="4" spans="1:1" x14ac:dyDescent="0.2">
      <c r="A4" t="s">
        <v>107</v>
      </c>
    </row>
    <row r="5" spans="1:1" x14ac:dyDescent="0.2">
      <c r="A5" t="s">
        <v>108</v>
      </c>
    </row>
    <row r="6" spans="1:1" x14ac:dyDescent="0.2">
      <c r="A6" t="s">
        <v>105</v>
      </c>
    </row>
    <row r="7" spans="1:1" x14ac:dyDescent="0.2">
      <c r="A7" t="s">
        <v>109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102</v>
      </c>
    </row>
    <row r="3" spans="1:1" x14ac:dyDescent="0.2">
      <c r="A3" t="s">
        <v>103</v>
      </c>
    </row>
    <row r="4" spans="1:1" x14ac:dyDescent="0.2">
      <c r="A4" t="s">
        <v>110</v>
      </c>
    </row>
    <row r="5" spans="1:1" x14ac:dyDescent="0.2">
      <c r="A5" t="s">
        <v>105</v>
      </c>
    </row>
    <row r="6" spans="1:1" x14ac:dyDescent="0.2">
      <c r="A6" t="s">
        <v>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8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112</v>
      </c>
    </row>
    <row r="3" spans="1:1" x14ac:dyDescent="0.2">
      <c r="A3" t="s">
        <v>113</v>
      </c>
    </row>
    <row r="4" spans="1:1" x14ac:dyDescent="0.2">
      <c r="A4" t="s">
        <v>114</v>
      </c>
    </row>
    <row r="5" spans="1:1" x14ac:dyDescent="0.2">
      <c r="A5" t="s">
        <v>115</v>
      </c>
    </row>
    <row r="6" spans="1:1" x14ac:dyDescent="0.2">
      <c r="A6" t="s">
        <v>116</v>
      </c>
    </row>
    <row r="7" spans="1:1" x14ac:dyDescent="0.2">
      <c r="A7" t="s">
        <v>117</v>
      </c>
    </row>
    <row r="8" spans="1:1" x14ac:dyDescent="0.2">
      <c r="A8" t="s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Opportunities</vt:lpstr>
      <vt:lpstr>Pivot_by_Client</vt:lpstr>
      <vt:lpstr>Pivot_by_Sector</vt:lpstr>
      <vt:lpstr>Pivot_by_StartDate</vt:lpstr>
      <vt:lpstr>Dashboard_Notes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Hany Mesha</cp:lastModifiedBy>
  <dcterms:created xsi:type="dcterms:W3CDTF">2026-02-12T21:25:49Z</dcterms:created>
  <dcterms:modified xsi:type="dcterms:W3CDTF">2026-02-27T18:57:52Z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2026-02-12T21:33:21Z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7789f745-8224-4fe1-ba89-8259ef1d74df</vt:lpwstr>
  </property>
  <property fmtid="{D5CDD505-2E9C-101B-9397-08002B2CF9AE}" pid="8" name="MSIP_Label_38f1469a-2c2a-4aee-b92b-090d4c5468ff_ContentBits">
    <vt:lpwstr>0</vt:lpwstr>
  </property>
  <property fmtid="{D5CDD505-2E9C-101B-9397-08002B2CF9AE}" pid="9" name="MSIP_Label_38f1469a-2c2a-4aee-b92b-090d4c5468ff_Tag">
    <vt:lpwstr>50, 3, 0, 1</vt:lpwstr>
  </property>
</Properties>
</file>